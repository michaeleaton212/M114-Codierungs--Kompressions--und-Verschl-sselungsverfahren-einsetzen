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AN-13 Pruefziff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<sst xmlns="http://schemas.openxmlformats.org/spreadsheetml/2006/main" count="50" uniqueCount="49">
  <si>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EAN-13 Pruefziffer-Rechner</t>
  </si>
  <si>
    <t xml:space="preserve">Position</t>
  </si>
  <si>
    <t xml:space="preserve">Pos 1</t>
  </si>
  <si>
    <t xml:space="preserve">Pos 2</t>
  </si>
  <si>
    <t xml:space="preserve">Pos 3</t>
  </si>
  <si>
    <t xml:space="preserve">Pos 4</t>
  </si>
  <si>
    <t xml:space="preserve">Pos 5</t>
  </si>
  <si>
    <t xml:space="preserve">Pos 6</t>
  </si>
  <si>
    <t xml:space="preserve">Pos 7</t>
  </si>
  <si>
    <t xml:space="preserve">Pos 8</t>
  </si>
  <si>
    <t xml:space="preserve">Pos 9</t>
  </si>
  <si>
    <t xml:space="preserve">Pos 10</t>
  </si>
  <si>
    <t xml:space="preserve">Pos 11</t>
  </si>
  <si>
    <t xml:space="preserve">Pos 12</t>
  </si>
  <si>
    <t xml:space="preserve">PZ (13)</t>
  </si>
  <si>
    <t xml:space="preserve">EAN-Eingabe (12 Stellen)</t>
  </si>
  <si>
    <t xml:space="preserve">Eingabe: 12 Ziffern in B4:M4</t>
  </si>
  <si>
    <t xml:space="preserve">Berechnete Pruefziffer</t>
  </si>
  <si>
    <t xml:space="preserve">Schrittweise Berechnung</t>
  </si>
  <si>
    <t xml:space="preserve">Schritt 1</t>
  </si>
  <si>
    <t xml:space="preserve">Summe ungerade Positionen (1,3,5,7,9,11)</t>
  </si>
  <si>
    <t xml:space="preserve">Schritt 2</t>
  </si>
  <si>
    <t xml:space="preserve">Summe gerade Positionen (2,4,6,8,10,12)</t>
  </si>
  <si>
    <t xml:space="preserve">Schritt 3</t>
  </si>
  <si>
    <t xml:space="preserve">Schritt 2 x 3</t>
  </si>
  <si>
    <t xml:space="preserve">Schritt 4</t>
  </si>
  <si>
    <t xml:space="preserve">Schritt 1 + Schritt 3</t>
  </si>
  <si>
    <t xml:space="preserve">Schritt 5</t>
  </si>
  <si>
    <t xml:space="preserve">PZ = MOD(10 - MOD(Schritt4, 10), 10)</t>
  </si>
  <si>
    <t xml:space="preserve">Testbeispiele</t>
  </si>
  <si>
    <t xml:space="preserve">Beschreibung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</si>
  <si>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</si>
  <si>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</si>
  <si>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</si>
  <si>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</si>
  <si>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</si>
  <si>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</si>
  <si>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</si>
  <si>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</si>
  <si>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</si>
  <si>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</si>
  <si>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</si>
  <si>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</si>
  <si>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Ber. PZ</t>
  </si>
  <si>
    <t xml:space="preserve">Bek. PZ</t>
  </si>
  <si>
    <t xml:space="preserve">Status</t>
  </si>
  <si>
    <t xml:space="preserve">PDF Beispiel: 0113735592433</t>
  </si>
  <si>
    <t xml:space="preserve">Beispiel: 9780306406157</t>
  </si>
  <si>
    <t xml:space="preserve">Beispiel: 4006381333931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</si>
</sst>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4F8F"/>
        <bgColor rgb="FF1F3864"/>
      </patternFill>
    </fill>
    <fill>
      <patternFill patternType="solid">
        <fgColor rgb="FFD9E8FF"/>
        <bgColor rgb="FFEBF3FB"/>
      </patternFill>
    </fill>
    <fill>
      <patternFill patternType="solid">
        <fgColor rgb="FFEEEEEE"/>
        <bgColor rgb="FFEBF3FB"/>
      </patternFill>
    </fill>
    <fill>
      <patternFill patternType="solid">
        <fgColor rgb="FFFFD700"/>
        <bgColor rgb="FFFFFF00"/>
      </patternFill>
    </fill>
    <fill>
      <patternFill patternType="solid">
        <fgColor rgb="FFEBF3FB"/>
        <bgColor rgb="FFEEEEEE"/>
      </patternFill>
    </fill>
    <fill>
      <patternFill patternType="solid">
        <fgColor rgb="FF4472C4"/>
        <bgColor rgb="FF2F4F8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D9E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D7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2F4F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7"/>
    <col collapsed="false" customWidth="true" hidden="false" outlineLevel="0" max="15" min="15" style="0" width="2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s">
        <v>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6" t="s">
        <v>16</v>
      </c>
    </row>
    <row r="5" customFormat="false" ht="15" hidden="false" customHeight="false" outlineLevel="0" collapsed="false">
      <c r="A5" s="3" t="s">
        <v>17</v>
      </c>
      <c r="B5" s="7" t="n">
        <f aca="false">B4</f>
        <v>0</v>
      </c>
      <c r="C5" s="7" t="n">
        <f aca="false">C4</f>
        <v>0</v>
      </c>
      <c r="D5" s="7" t="n">
        <f aca="false">D4</f>
        <v>0</v>
      </c>
      <c r="E5" s="7" t="n">
        <f aca="false">E4</f>
        <v>0</v>
      </c>
      <c r="F5" s="7" t="n">
        <f aca="false">F4</f>
        <v>0</v>
      </c>
      <c r="G5" s="7" t="n">
        <f aca="false">G4</f>
        <v>0</v>
      </c>
      <c r="H5" s="7" t="n">
        <f aca="false">H4</f>
        <v>0</v>
      </c>
      <c r="I5" s="7" t="n">
        <f aca="false">I4</f>
        <v>0</v>
      </c>
      <c r="J5" s="7" t="n">
        <f aca="false">J4</f>
        <v>0</v>
      </c>
      <c r="K5" s="7" t="n">
        <f aca="false">K4</f>
        <v>0</v>
      </c>
      <c r="L5" s="7" t="n">
        <f aca="false">L4</f>
        <v>0</v>
      </c>
      <c r="M5" s="7" t="n">
        <f aca="false">M4</f>
        <v>0</v>
      </c>
      <c r="N5" s="8" t="n">
        <f aca="false">MOD(10-MOD((B5+D5+F5+H5+J5+L5)+3*(C5+E5+G5+I5+K5+M5),10),10)</f>
        <v>0</v>
      </c>
      <c r="O5" s="9" t="s">
        <v>17</v>
      </c>
    </row>
    <row r="7" customFormat="false" ht="15" hidden="false" customHeight="false" outlineLevel="0" collapsed="false">
      <c r="A7" s="10" t="s">
        <v>18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customFormat="false" ht="15" hidden="false" customHeight="false" outlineLevel="0" collapsed="false">
      <c r="A8" s="11" t="s">
        <v>19</v>
      </c>
      <c r="B8" s="12" t="s">
        <v>20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 t="n">
        <f aca="false">IFERROR(B5+D5+F5+H5+J5+L5,"")</f>
        <v>0</v>
      </c>
    </row>
    <row r="9" customFormat="false" ht="15" hidden="false" customHeight="false" outlineLevel="0" collapsed="false">
      <c r="A9" s="11" t="s">
        <v>21</v>
      </c>
      <c r="B9" s="12" t="s">
        <v>22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3" t="n">
        <f aca="false">IFERROR(C5+E5+G5+I5+K5+M5,"")</f>
        <v>0</v>
      </c>
    </row>
    <row r="10" customFormat="false" ht="15" hidden="false" customHeight="false" outlineLevel="0" collapsed="false">
      <c r="A10" s="11" t="s">
        <v>23</v>
      </c>
      <c r="B10" s="12" t="s">
        <v>24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3" t="n">
        <f aca="false">IFERROR(N9*3,"")</f>
        <v>0</v>
      </c>
    </row>
    <row r="11" customFormat="false" ht="15" hidden="false" customHeight="false" outlineLevel="0" collapsed="false">
      <c r="A11" s="11" t="s">
        <v>25</v>
      </c>
      <c r="B11" s="12" t="s">
        <v>26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 t="n">
        <f aca="false">IFERROR(N8+N10,"")</f>
        <v>0</v>
      </c>
    </row>
    <row r="12" customFormat="false" ht="15" hidden="false" customHeight="false" outlineLevel="0" collapsed="false">
      <c r="A12" s="11" t="s">
        <v>27</v>
      </c>
      <c r="B12" s="12" t="s">
        <v>28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8" t="n">
        <f aca="false">IFERROR(MOD(10-MOD(N11,10),10),"")</f>
        <v>0</v>
      </c>
    </row>
    <row r="14" customFormat="false" ht="15" hidden="false" customHeight="false" outlineLevel="0" collapsed="false">
      <c r="A14" s="10" t="s">
        <v>29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customFormat="false" ht="15" hidden="false" customHeight="false" outlineLevel="0" collapsed="false">
      <c r="A15" s="14" t="s">
        <v>30</v>
      </c>
      <c r="B15" s="14" t="s">
        <v>31</v>
      </c>
      <c r="C15" s="14" t="s">
        <v>32</v>
      </c>
      <c r="D15" s="14" t="s">
        <v>33</v>
      </c>
      <c r="E15" s="14" t="s">
        <v>34</v>
      </c>
      <c r="F15" s="14" t="s">
        <v>35</v>
      </c>
      <c r="G15" s="14" t="s">
        <v>36</v>
      </c>
      <c r="H15" s="14" t="s">
        <v>37</v>
      </c>
      <c r="I15" s="14" t="s">
        <v>38</v>
      </c>
      <c r="J15" s="14" t="s">
        <v>39</v>
      </c>
      <c r="K15" s="14" t="s">
        <v>40</v>
      </c>
      <c r="L15" s="14" t="s">
        <v>41</v>
      </c>
      <c r="M15" s="14" t="s">
        <v>42</v>
      </c>
      <c r="N15" s="14" t="s">
        <v>43</v>
      </c>
      <c r="O15" s="14" t="s">
        <v>44</v>
      </c>
      <c r="P15" s="14" t="s">
        <v>45</v>
      </c>
    </row>
    <row r="16" customFormat="false" ht="15" hidden="false" customHeight="false" outlineLevel="0" collapsed="false">
      <c r="A16" s="12" t="s">
        <v>46</v>
      </c>
      <c r="B16" s="7" t="n">
        <v>0</v>
      </c>
      <c r="C16" s="7" t="n">
        <v>1</v>
      </c>
      <c r="D16" s="7" t="n">
        <v>1</v>
      </c>
      <c r="E16" s="7" t="n">
        <v>3</v>
      </c>
      <c r="F16" s="7" t="n">
        <v>7</v>
      </c>
      <c r="G16" s="7" t="n">
        <v>3</v>
      </c>
      <c r="H16" s="7" t="n">
        <v>5</v>
      </c>
      <c r="I16" s="7" t="n">
        <v>5</v>
      </c>
      <c r="J16" s="7" t="n">
        <v>9</v>
      </c>
      <c r="K16" s="7" t="n">
        <v>2</v>
      </c>
      <c r="L16" s="7" t="n">
        <v>4</v>
      </c>
      <c r="M16" s="7" t="n">
        <v>3</v>
      </c>
      <c r="N16" s="8" t="n">
        <f aca="false">MOD(10-MOD((B16+D16+F16+H16+J16+L16)+3*(C16+E16+G16+I16+K16+M16),10),10)</f>
        <v>3</v>
      </c>
      <c r="O16" s="7" t="n">
        <v>3</v>
      </c>
      <c r="P16" s="15" t="str">
        <f aca="false">IF(N16=O16,"OK","FEHLER")</f>
        <v>OK</v>
      </c>
    </row>
    <row r="17" customFormat="false" ht="15" hidden="false" customHeight="false" outlineLevel="0" collapsed="false">
      <c r="A17" s="12" t="s">
        <v>47</v>
      </c>
      <c r="B17" s="7" t="n">
        <v>9</v>
      </c>
      <c r="C17" s="7" t="n">
        <v>7</v>
      </c>
      <c r="D17" s="7" t="n">
        <v>8</v>
      </c>
      <c r="E17" s="7" t="n">
        <v>0</v>
      </c>
      <c r="F17" s="7" t="n">
        <v>3</v>
      </c>
      <c r="G17" s="7" t="n">
        <v>0</v>
      </c>
      <c r="H17" s="7" t="n">
        <v>6</v>
      </c>
      <c r="I17" s="7" t="n">
        <v>4</v>
      </c>
      <c r="J17" s="7" t="n">
        <v>0</v>
      </c>
      <c r="K17" s="7" t="n">
        <v>6</v>
      </c>
      <c r="L17" s="7" t="n">
        <v>1</v>
      </c>
      <c r="M17" s="7" t="n">
        <v>5</v>
      </c>
      <c r="N17" s="8" t="n">
        <f aca="false">MOD(10-MOD((B17+D17+F17+H17+J17+L17)+3*(C17+E17+G17+I17+K17+M17),10),10)</f>
        <v>7</v>
      </c>
      <c r="O17" s="7" t="n">
        <v>7</v>
      </c>
      <c r="P17" s="15" t="str">
        <f aca="false">IF(N17=O17,"OK","FEHLER")</f>
        <v>OK</v>
      </c>
    </row>
    <row r="18" customFormat="false" ht="15" hidden="false" customHeight="false" outlineLevel="0" collapsed="false">
      <c r="A18" s="12" t="s">
        <v>48</v>
      </c>
      <c r="B18" s="7" t="n">
        <v>4</v>
      </c>
      <c r="C18" s="7" t="n">
        <v>0</v>
      </c>
      <c r="D18" s="7" t="n">
        <v>0</v>
      </c>
      <c r="E18" s="7" t="n">
        <v>6</v>
      </c>
      <c r="F18" s="7" t="n">
        <v>3</v>
      </c>
      <c r="G18" s="7" t="n">
        <v>8</v>
      </c>
      <c r="H18" s="7" t="n">
        <v>1</v>
      </c>
      <c r="I18" s="7" t="n">
        <v>3</v>
      </c>
      <c r="J18" s="7" t="n">
        <v>3</v>
      </c>
      <c r="K18" s="7" t="n">
        <v>3</v>
      </c>
      <c r="L18" s="7" t="n">
        <v>9</v>
      </c>
      <c r="M18" s="7" t="n">
        <v>3</v>
      </c>
      <c r="N18" s="8" t="n">
        <f aca="false">MOD(10-MOD((B18+D18+F18+H18+J18+L18)+3*(C18+E18+G18+I18+K18+M18),10),10)</f>
        <v>1</v>
      </c>
      <c r="O18" s="7" t="n">
        <v>1</v>
      </c>
      <c r="P18" s="15" t="str">
        <f aca="false">IF(N18=O18,"OK","FEHLER")</f>
        <v>OK</v>
      </c>
    </row>
  </sheetData>
  <mergeCells count="8">
    <mergeCell ref="A1:O1"/>
    <mergeCell ref="A7:O7"/>
    <mergeCell ref="B8:M8"/>
    <mergeCell ref="B9:M9"/>
    <mergeCell ref="B10:M10"/>
    <mergeCell ref="B11:M11"/>
    <mergeCell ref="B12:M12"/>
    <mergeCell ref="A14:O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2026-05-28T06:33:44Z</dcterms:created>
  <dc:creator>openpyxl</dc:creator>
  <dc:description/>
  <dc:language>en-US</dc:language>
  <cp:lastModifiedBy/>
  <dcterms:modified xsi:type="dcterms:W3CDTF">2026-05-28T06:33:44Z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